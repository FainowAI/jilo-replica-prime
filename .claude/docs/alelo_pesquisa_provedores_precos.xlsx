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tônio\Desktop\fainow-projects\jilo-projects\jilo-replica-prime\.claude\docs\"/>
    </mc:Choice>
  </mc:AlternateContent>
  <xr:revisionPtr revIDLastSave="0" documentId="13_ncr:1_{F0C0AFFB-E7C0-4A4E-80E3-72C71C71CB0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Resumo" sheetId="1" r:id="rId1"/>
    <sheet name="Premissas" sheetId="2" r:id="rId2"/>
    <sheet name="Simulação por volume" sheetId="3" r:id="rId3"/>
    <sheet name="Provedores" sheetId="4" r:id="rId4"/>
    <sheet name="Regras PAT" sheetId="5" r:id="rId5"/>
    <sheet name="Benchmarks" sheetId="6" r:id="rId6"/>
    <sheet name="Elegibilidade" sheetId="7" r:id="rId7"/>
    <sheet name="Fontes" sheetId="8" r:id="rId8"/>
  </sheets>
  <calcPr calcId="191029"/>
</workbook>
</file>

<file path=xl/calcChain.xml><?xml version="1.0" encoding="utf-8"?>
<calcChain xmlns="http://schemas.openxmlformats.org/spreadsheetml/2006/main">
  <c r="J14" i="3" l="1"/>
  <c r="I14" i="3"/>
  <c r="B14" i="3"/>
  <c r="G14" i="3" s="1"/>
  <c r="J13" i="3"/>
  <c r="I13" i="3"/>
  <c r="B13" i="3"/>
  <c r="G13" i="3" s="1"/>
  <c r="J12" i="3"/>
  <c r="I12" i="3"/>
  <c r="B12" i="3"/>
  <c r="C12" i="3" s="1"/>
  <c r="J11" i="3"/>
  <c r="I11" i="3"/>
  <c r="B11" i="3"/>
  <c r="C11" i="3" s="1"/>
  <c r="J10" i="3"/>
  <c r="I10" i="3"/>
  <c r="B10" i="3"/>
  <c r="E10" i="3" s="1"/>
  <c r="J9" i="3"/>
  <c r="I9" i="3"/>
  <c r="B9" i="3"/>
  <c r="E9" i="3" s="1"/>
  <c r="J8" i="3"/>
  <c r="I8" i="3"/>
  <c r="B8" i="3"/>
  <c r="G8" i="3" s="1"/>
  <c r="J7" i="3"/>
  <c r="I7" i="3"/>
  <c r="B7" i="3"/>
  <c r="G7" i="3" s="1"/>
  <c r="J6" i="3"/>
  <c r="I6" i="3"/>
  <c r="B6" i="3"/>
  <c r="G6" i="3" s="1"/>
  <c r="J5" i="3"/>
  <c r="I5" i="3"/>
  <c r="B5" i="3"/>
  <c r="G5" i="3" s="1"/>
  <c r="D11" i="3" l="1"/>
  <c r="L11" i="3"/>
  <c r="H7" i="3"/>
  <c r="M7" i="3"/>
  <c r="M8" i="3"/>
  <c r="H8" i="3"/>
  <c r="L12" i="3"/>
  <c r="D12" i="3"/>
  <c r="H5" i="3"/>
  <c r="M5" i="3"/>
  <c r="F9" i="3"/>
  <c r="K9" i="3"/>
  <c r="M13" i="3"/>
  <c r="H13" i="3"/>
  <c r="H6" i="3"/>
  <c r="M6" i="3"/>
  <c r="K10" i="3"/>
  <c r="F10" i="3"/>
  <c r="M14" i="3"/>
  <c r="H14" i="3"/>
  <c r="G9" i="3"/>
  <c r="E11" i="3"/>
  <c r="C13" i="3"/>
  <c r="C14" i="3"/>
  <c r="G10" i="3"/>
  <c r="E12" i="3"/>
  <c r="G11" i="3"/>
  <c r="E13" i="3"/>
  <c r="G12" i="3"/>
  <c r="E14" i="3"/>
  <c r="C5" i="3"/>
  <c r="C6" i="3"/>
  <c r="E5" i="3"/>
  <c r="C7" i="3"/>
  <c r="E6" i="3"/>
  <c r="C8" i="3"/>
  <c r="E7" i="3"/>
  <c r="C9" i="3"/>
  <c r="E8" i="3"/>
  <c r="C10" i="3"/>
  <c r="M9" i="3" l="1"/>
  <c r="H9" i="3"/>
  <c r="D5" i="3"/>
  <c r="L5" i="3"/>
  <c r="K14" i="3"/>
  <c r="F14" i="3"/>
  <c r="D10" i="3"/>
  <c r="L10" i="3"/>
  <c r="N6" i="3"/>
  <c r="F8" i="3"/>
  <c r="K8" i="3"/>
  <c r="D8" i="3"/>
  <c r="L8" i="3"/>
  <c r="L14" i="3"/>
  <c r="D14" i="3"/>
  <c r="F6" i="3"/>
  <c r="K6" i="3"/>
  <c r="L13" i="3"/>
  <c r="D13" i="3"/>
  <c r="D7" i="3"/>
  <c r="L7" i="3"/>
  <c r="K11" i="3"/>
  <c r="F11" i="3"/>
  <c r="N5" i="3"/>
  <c r="K5" i="3"/>
  <c r="F5" i="3"/>
  <c r="D6" i="3"/>
  <c r="L6" i="3"/>
  <c r="N14" i="3"/>
  <c r="M12" i="3"/>
  <c r="N12" i="3" s="1"/>
  <c r="H12" i="3"/>
  <c r="N8" i="3"/>
  <c r="K13" i="3"/>
  <c r="F13" i="3"/>
  <c r="N7" i="3"/>
  <c r="M11" i="3"/>
  <c r="N11" i="3" s="1"/>
  <c r="H11" i="3"/>
  <c r="D9" i="3"/>
  <c r="L9" i="3"/>
  <c r="K12" i="3"/>
  <c r="F12" i="3"/>
  <c r="F7" i="3"/>
  <c r="K7" i="3"/>
  <c r="M10" i="3"/>
  <c r="N10" i="3" s="1"/>
  <c r="H10" i="3"/>
  <c r="N13" i="3"/>
  <c r="N9" i="3" l="1"/>
</calcChain>
</file>

<file path=xl/sharedStrings.xml><?xml version="1.0" encoding="utf-8"?>
<sst xmlns="http://schemas.openxmlformats.org/spreadsheetml/2006/main" count="373" uniqueCount="285">
  <si>
    <t>Alelo no e-commerce Jilo — pesquisa de provedores e custos</t>
  </si>
  <si>
    <t>Pesquisa pública feita em 29/09/2026. Valores da Alelo não são publicados: tratar como estimativa até receber proposta formal.</t>
  </si>
  <si>
    <t>Conclusões</t>
  </si>
  <si>
    <t>1</t>
  </si>
  <si>
    <t>Não existe app de pagamento na Shopify Brasil que aceite Alelo (nem outro vale-refeição). Qualquer caminho exige integração própria, no mesmo modelo já construído para a VR (cobrança fora do checkout + pedido criado na Shopify).</t>
  </si>
  <si>
    <t>2</t>
  </si>
  <si>
    <t>A única rota online documentada publicamente para Alelo é a Cielo (API E-commerce 3.0 ou Cielo Gateway/Braspag). A Alelo precisa habilitar o lojista antes. A Getnet (adquirente atual) aparece só para maquininha.</t>
  </si>
  <si>
    <t>3</t>
  </si>
  <si>
    <t>Ponto em aberto crítico: a Pagar.me informa que o contrato Cielo–Alelo terminou e bloqueia novas integrações. A documentação da Cielo segue ativa (atualizada em 2025/2026). Confirmar com Alelo e Cielo se aceitam cliente novo antes de orçar a integração.</t>
  </si>
  <si>
    <t>4</t>
  </si>
  <si>
    <t>A Alelo não publica tabela de taxas. O custo é negociado no credenciamento. Por isso a simulação usa 3 cenários: teto legal (3,6%), média Brasil 2026 (6,18%) e média SP 2026 (8,62%).</t>
  </si>
  <si>
    <t>5</t>
  </si>
  <si>
    <t>Regras do PAT (Decreto 12.712/2025) em vigor desde 10/02/2026: MDR máx. 3,6%, intercâmbio máx. 2%, repasse em até 15 dias corridos, proibidas tarifas extras. TRF-3 derrubou as liminares (24/02/2026) e o STF manteve o decreto (25/09/2026). Base legal para exigir 3,6% na negociação.</t>
  </si>
  <si>
    <t>6</t>
  </si>
  <si>
    <t>Interoperabilidade (qualquer cartão de benefício em qualquer credenciadora) prevista para ~07/11/2026. Se entrar em vigor, a Getnet ou outras podem passar a capturar Alelo online. Vale reavaliar em dez/2026 antes de investir numa integração só com a Cielo.</t>
  </si>
  <si>
    <t>Próximos passos recomendados</t>
  </si>
  <si>
    <t>Ligar no credenciamento Alelo (4002-5011) e pedir proposta por escrito: MDR, prazo de repasse, tarifas, e quais credenciadoras capturam Alelo online hoje.</t>
  </si>
  <si>
    <t>Confirmar com a Cielo se habilita Alelo e-commerce para novo cliente (API E-commerce 3.0 ou Gateway).</t>
  </si>
  <si>
    <t>Perguntar à Getnet se terá Alelo e-commerce com a interoperabilidade do PAT.</t>
  </si>
  <si>
    <t>Preencher as células amarelas da aba 'Premissas' com os valores reais da proposta. A aba 'Simulação por volume' recalcula sozinha.</t>
  </si>
  <si>
    <t>Como ler a planilha</t>
  </si>
  <si>
    <t>•</t>
  </si>
  <si>
    <t>Premissas: todas as taxas e o ticket médio. Texto azul com fundo amarelo = valor editável.</t>
  </si>
  <si>
    <t>Simulação por volume: custo mensal e anual por faixa de faturamento em Alelo, nos 3 cenários, comparado com Pix e crédito.</t>
  </si>
  <si>
    <t>Provedores: comparativo de quem aceita Alelo online. Regras PAT e Benchmarks: base regulatória e o que o mercado paga. Fontes: links consultados.</t>
  </si>
  <si>
    <t>Premissas da simulação</t>
  </si>
  <si>
    <t>Células em azul com fundo amarelo são editáveis. Substituir pelos valores da proposta da Alelo/Cielo quando chegarem.</t>
  </si>
  <si>
    <t>Premissa</t>
  </si>
  <si>
    <t>Valor</t>
  </si>
  <si>
    <t>Origem / observação</t>
  </si>
  <si>
    <t>Ticket médio do pedido pago com Alelo (R$)</t>
  </si>
  <si>
    <t>Estimativa. Pedido com 7 marmitas (frete grátis) sai perto de R$ 130–160. Ajustar pelo ticket real da Shopify.</t>
  </si>
  <si>
    <t>Cenário A — MDR Alelo (teto legal PAT)</t>
  </si>
  <si>
    <t>Decreto 12.712/2025, art. 182-B, I. Melhor caso: exigir o teto na negociação.</t>
  </si>
  <si>
    <t>Cenário A — tarifa fixa Alelo por transação (R$)</t>
  </si>
  <si>
    <t>Tarifas extras proibidas pelo art. 182-B.</t>
  </si>
  <si>
    <t>Cenário B — MDR Alelo (média Brasil 2026)</t>
  </si>
  <si>
    <t>Pesquisa Ipsos-Ipec/ANR, taxa média de vale-refeição, divulgada em 22/08/2026.</t>
  </si>
  <si>
    <t>Cenário B — tarifa fixa Alelo por transação (R$)</t>
  </si>
  <si>
    <t>Sem tarifa fixa no cenário médio.</t>
  </si>
  <si>
    <t>Cenário C — MDR Alelo (média SP 2026)</t>
  </si>
  <si>
    <t>Mesma pesquisa, recorte São Paulo. Pior caso realista.</t>
  </si>
  <si>
    <t>Cenário C — tarifa fixa Alelo por transação (R$)</t>
  </si>
  <si>
    <t>Tarifa relatada por lojistas no Reclame Aqui (pré-decreto, hoje vedada). Confiança baixa.</t>
  </si>
  <si>
    <t>Tarifa do gateway Cielo por transação (R$)</t>
  </si>
  <si>
    <t>SOB CONSULTA — preencher com a proposta da Cielo. Zero até lá.</t>
  </si>
  <si>
    <t>Mensalidade do gateway Cielo (R$/mês)</t>
  </si>
  <si>
    <t>Comparativo — taxa média Pix 2026</t>
  </si>
  <si>
    <t>Pesquisa Ipsos-Ipec/ANR 2026.</t>
  </si>
  <si>
    <t>Comparativo — taxa média débito 2026</t>
  </si>
  <si>
    <t>Comparativo — taxa média crédito 2026</t>
  </si>
  <si>
    <t>Prazo máximo de repasse Alelo (dias corridos)</t>
  </si>
  <si>
    <t>Decreto 12.712/2025, art. 182-C. Antes do decreto: ~30 dias.</t>
  </si>
  <si>
    <t>Custo de aceitar Alelo por faixa de faturamento mensal</t>
  </si>
  <si>
    <t>Faturamento = valor vendido em Alelo no mês (não o faturamento total da loja). Custo = MDR × faturamento + tarifas fixas × nº de transações + mensalidade do gateway.</t>
  </si>
  <si>
    <t>Faturamento em Alelo / mês (R$)</t>
  </si>
  <si>
    <t>Nº de pedidos / mês</t>
  </si>
  <si>
    <t>Cenário A — custo/mês (teto 3,6%)</t>
  </si>
  <si>
    <t>A — % efetivo</t>
  </si>
  <si>
    <t>Cenário B — custo/mês (média BR)</t>
  </si>
  <si>
    <t>B — % efetivo</t>
  </si>
  <si>
    <t>Cenário C — custo/mês (média SP)</t>
  </si>
  <si>
    <t>C — % efetivo</t>
  </si>
  <si>
    <t>Se fosse Pix — custo/mês</t>
  </si>
  <si>
    <t>Se fosse crédito — custo/mês</t>
  </si>
  <si>
    <t>Custo extra Alelo vs Pix / mês (cenário B)</t>
  </si>
  <si>
    <t>Cenário A — custo/ano</t>
  </si>
  <si>
    <t>Cenário C — custo/ano</t>
  </si>
  <si>
    <t>Economia/ano negociando o teto (C − A)</t>
  </si>
  <si>
    <t>Notas:</t>
  </si>
  <si>
    <t>• A coluna A (faixas) é editável: troque pelos volumes que o cliente espera.</t>
  </si>
  <si>
    <t>• Os cenários A/B/C puxam as taxas da aba 'Premissas'. Tarifa e mensalidade da Cielo estão zeradas até chegar a proposta (sob consulta).</t>
  </si>
  <si>
    <t>• Pequenos estabelecimentos (até R$ 30 mil/mês) pagaram em média 6,44% em 2026 (Ipsos-Ipec/ANR) — próximo do cenário B.</t>
  </si>
  <si>
    <t>• Não inclui o custo de desenvolvimento da integração (custom, fora do checkout Shopify, no mesmo molde da VR).</t>
  </si>
  <si>
    <t>• Com repasse em até 15 dias, não há custo de antecipação no modelo. Se a Jilo quiser receber antes, a taxa de antecipação da Alelo é sob consulta.</t>
  </si>
  <si>
    <t>Comparativo de provedores — Alelo no e-commerce</t>
  </si>
  <si>
    <t>Status na data da pesquisa (29/09/2026). Verde = rota viável; amarelo = incerto; vermelho = não atende.</t>
  </si>
  <si>
    <t>Provedor</t>
  </si>
  <si>
    <t>Aceita Alelo online?</t>
  </si>
  <si>
    <t>Outros vales online</t>
  </si>
  <si>
    <t>MDR do vale</t>
  </si>
  <si>
    <t>Tarifa fixa / mensalidade</t>
  </si>
  <si>
    <t>Antifraude / 3DS</t>
  </si>
  <si>
    <t>Prazo de recebimento</t>
  </si>
  <si>
    <t>Integração com Shopify</t>
  </si>
  <si>
    <t>Esforço de integração</t>
  </si>
  <si>
    <t>Fonte</t>
  </si>
  <si>
    <t>Confiança</t>
  </si>
  <si>
    <t>Cielo — API E-commerce 3.0</t>
  </si>
  <si>
    <t>Sim, documentado. Alelo enviado como débito (bandeira Elo, sem autenticação). Exige habilitação prévia pela Alelo e pela Cielo.</t>
  </si>
  <si>
    <t>Não documentado nesta API</t>
  </si>
  <si>
    <t>Negociado com a Alelo (teto legal 3,6%)</t>
  </si>
  <si>
    <t>Sob consulta</t>
  </si>
  <si>
    <t>Sem 3DS para Alelo</t>
  </si>
  <si>
    <t>Pela Alelo (máx. 15 dias)</t>
  </si>
  <si>
    <t>Não. O app Cielo na Shopify faz só cartão e Pix. Integração própria.</t>
  </si>
  <si>
    <t>Médio (parecido com a VR)</t>
  </si>
  <si>
    <t>docs.cielo.com.br/ecommerce-cielo/docs/alelo</t>
  </si>
  <si>
    <t>Média</t>
  </si>
  <si>
    <t>Cielo Gateway (Braspag / Pagador)</t>
  </si>
  <si>
    <t>Sim. Provedor 'Alelo': captura automática, sem pré-autorização, cancelamento só total.</t>
  </si>
  <si>
    <t>Ticket</t>
  </si>
  <si>
    <t>Negociado com cada bandeira</t>
  </si>
  <si>
    <t>Antifraude à parte, sob consulta</t>
  </si>
  <si>
    <t>Pela bandeira (máx. 15 dias)</t>
  </si>
  <si>
    <t>Não. Integração própria.</t>
  </si>
  <si>
    <t>Médio. Tem sandbox.</t>
  </si>
  <si>
    <t>docs.cielo.com.br/gateway/v1.0-en/reference/voucher-api</t>
  </si>
  <si>
    <t>Média-alta</t>
  </si>
  <si>
    <t>Pagar.me (Stone)</t>
  </si>
  <si>
    <t>Não. A documentação informa que, pelo fim do contrato Cielo–Alelo, não aceita novas integrações Alelo.</t>
  </si>
  <si>
    <t>VR, Pluxee (Sodexo), Ticket — só no plano Gateway</t>
  </si>
  <si>
    <t>Pela bandeira</t>
  </si>
  <si>
    <t>Antifraude integrado</t>
  </si>
  <si>
    <t>O app Shopify faz só cartão, Pix e boleto. Vale exige integração própria.</t>
  </si>
  <si>
    <t>Médio</t>
  </si>
  <si>
    <t>docs.pagar.me/docs/voucher</t>
  </si>
  <si>
    <t>Alta</t>
  </si>
  <si>
    <t>Adyen</t>
  </si>
  <si>
    <t>Incerto. Marketing cita Alelo online, mas aviso de fev/2026 diz que online cobre só vale de arranjo aberto (Visa/Master/Elo).</t>
  </si>
  <si>
    <t>Vales de arranjo aberto (Caju, Flash, Swile etc.)</t>
  </si>
  <si>
    <t>Não publicado</t>
  </si>
  <si>
    <t>Preço global indicativo: US$ 0,13/transação + taxa. Costuma exigir volume mínimo.</t>
  </si>
  <si>
    <t>Incluído</t>
  </si>
  <si>
    <t>Integração própria</t>
  </si>
  <si>
    <t>Alto</t>
  </si>
  <si>
    <t>adyen.com/pricing; help.adyen.com (fev/2026)</t>
  </si>
  <si>
    <t>Baixa</t>
  </si>
  <si>
    <t>EBANX</t>
  </si>
  <si>
    <t>Documentação cita Alelo, Ticket, Sodexo e VR. Exige código de afiliação de cada bandeira. Foco em vendas internacionais.</t>
  </si>
  <si>
    <t>VR, Ticket, Sodexo</t>
  </si>
  <si>
    <t>Médio-alto</t>
  </si>
  <si>
    <t>docs.ebanx.com</t>
  </si>
  <si>
    <t>Getnet (adquirente atual)</t>
  </si>
  <si>
    <t>Não encontrado para e-commerce. Aceita Alelo só na maquininha (desde 2016).</t>
  </si>
  <si>
    <t>—</t>
  </si>
  <si>
    <t>monitormercantil.com.br; buscas 29/09/2026</t>
  </si>
  <si>
    <t>Rede, PagBank, Mercado Pago, Stone, Iugu, Vindi, Zoop, Appmax, Yampi</t>
  </si>
  <si>
    <t>Nenhuma evidência de Alelo online. PagBank, Mercado Pago e Stone aceitam vale só na maquininha.</t>
  </si>
  <si>
    <t>Nenhum app Shopify com vale</t>
  </si>
  <si>
    <t>Buscas 29/09/2026</t>
  </si>
  <si>
    <t>Baixa (ausência de evidência)</t>
  </si>
  <si>
    <t>Alelo direto (sem gateway)</t>
  </si>
  <si>
    <t>Não há API pública de e-commerce da Alelo para lojista. Confirmar no credenciamento.</t>
  </si>
  <si>
    <t>Até 1 dia anunciado (com antecipação); lei: máx. 15 dias</t>
  </si>
  <si>
    <t>alelo.com.br/estabelecimentos/credenciamento</t>
  </si>
  <si>
    <t>Referência: VR (já integrada)</t>
  </si>
  <si>
    <t>Não se aplica — a Jilo já integra a VR direto (API Captura da VR).</t>
  </si>
  <si>
    <t>Negociado com a VR (teto 3,6%)</t>
  </si>
  <si>
    <t>Máx. 15 dias</t>
  </si>
  <si>
    <t>Integração própria já feita (draft order)</t>
  </si>
  <si>
    <t>Feito</t>
  </si>
  <si>
    <t>Projeto Jilo</t>
  </si>
  <si>
    <t>Regras do PAT — Decreto 12.712/2025</t>
  </si>
  <si>
    <t>Publicado em 12/11/2025. Situação em 29/09/2026.</t>
  </si>
  <si>
    <t>Regra</t>
  </si>
  <si>
    <t>Valor / conteúdo</t>
  </si>
  <si>
    <t>Vigência</t>
  </si>
  <si>
    <t>Status em set/2026</t>
  </si>
  <si>
    <t>Teto de MDR (taxa ao lojista)</t>
  </si>
  <si>
    <t>Máximo 3,6%</t>
  </si>
  <si>
    <t>Desde 10/02/2026</t>
  </si>
  <si>
    <t>Em vigor</t>
  </si>
  <si>
    <t>Decreto, art. 182-B, I (camara.leg.br)</t>
  </si>
  <si>
    <t>Teto de intercâmbio</t>
  </si>
  <si>
    <t>Máximo 2%</t>
  </si>
  <si>
    <t>Decreto, art. 182-B, II</t>
  </si>
  <si>
    <t>Tarifas adicionais</t>
  </si>
  <si>
    <t>Proibidas (adesão, anuidade, tarifa por transação, TOR)</t>
  </si>
  <si>
    <t>Em vigor — exigir por escrito na proposta</t>
  </si>
  <si>
    <t>Decreto, art. 182-B</t>
  </si>
  <si>
    <t>Prazo de repasse</t>
  </si>
  <si>
    <t>Até 15 dias corridos</t>
  </si>
  <si>
    <t>Em vigor (antes: ~30 dias)</t>
  </si>
  <si>
    <t>Decreto, art. 182-C</t>
  </si>
  <si>
    <t>Deságio / rebate ao empregador</t>
  </si>
  <si>
    <t>Proibido</t>
  </si>
  <si>
    <t>Decreto, art. 182-F, I</t>
  </si>
  <si>
    <t>Arranjo aberto</t>
  </si>
  <si>
    <t>Obrigatório para operadoras com mais de 500 mil trabalhadores</t>
  </si>
  <si>
    <t>Desde 11/05/2026</t>
  </si>
  <si>
    <t>Em litígio (liminar da Alelo derrubada pelo TRF-3; mérito pendente)</t>
  </si>
  <si>
    <t>comunidadecontabilbrasil.com; migalhas.com.br</t>
  </si>
  <si>
    <t>Interoperabilidade</t>
  </si>
  <si>
    <t>Qualquer cartão de benefício aceito em qualquer credenciadora</t>
  </si>
  <si>
    <t>~07/11/2026</t>
  </si>
  <si>
    <t>Ainda não vigente</t>
  </si>
  <si>
    <t>Decreto, art. 182-D, II</t>
  </si>
  <si>
    <t>Liminares das operadoras</t>
  </si>
  <si>
    <t>Ticket, VR, Pluxee e Alelo obtiveram liminares</t>
  </si>
  <si>
    <t>Derrubadas pelo TRF-3 em 24/02/2026</t>
  </si>
  <si>
    <t>bloomberglinea.com.br</t>
  </si>
  <si>
    <t>STF — ADI 7.962</t>
  </si>
  <si>
    <t>Ação contra o decreto</t>
  </si>
  <si>
    <t>Não conhecida (25/09/2026); decreto mantido; cabe agravo</t>
  </si>
  <si>
    <t>migalhas.com.br</t>
  </si>
  <si>
    <t>Alcance</t>
  </si>
  <si>
    <t>Vale para transações PAT. Há divergência se cobre todo vale-refeição/alimentação</t>
  </si>
  <si>
    <t>Ponto a confirmar com a Alelo</t>
  </si>
  <si>
    <t>pluxee.com.br; amdjus.com.br</t>
  </si>
  <si>
    <t>Quanto o mercado paga — benchmarks públicos</t>
  </si>
  <si>
    <t>Taxas por operadora (Alelo, VR, Ticket, Pluxee) não são publicadas; só médias de mercado.</t>
  </si>
  <si>
    <t>Indicador</t>
  </si>
  <si>
    <t>Data</t>
  </si>
  <si>
    <t>Taxa média vale-refeição — Brasil 2026</t>
  </si>
  <si>
    <t>Ipsos-Ipec/ANR via mercadoeconsumo.com.br</t>
  </si>
  <si>
    <t>22/08/2026</t>
  </si>
  <si>
    <t>Taxa média vale-refeição — São Paulo 2026</t>
  </si>
  <si>
    <t>Taxa média vale-refeição — pequenos (até R$ 30 mil/mês) 2026</t>
  </si>
  <si>
    <t>Taxa média vale-refeição — Brasil 2025</t>
  </si>
  <si>
    <t>Ipsos-Ipec/ANR via gironews.com</t>
  </si>
  <si>
    <t>2025</t>
  </si>
  <si>
    <t>Pix — média 2026</t>
  </si>
  <si>
    <t>Ipsos-Ipec/ANR</t>
  </si>
  <si>
    <t>Débito — média 2026</t>
  </si>
  <si>
    <t>Crédito — média 2026</t>
  </si>
  <si>
    <t>Alelo relatada por lojistas (pré-decreto)</t>
  </si>
  <si>
    <t>6,5% a 8,9% + R$ 0,55/transação + R$ 0,90/depósito</t>
  </si>
  <si>
    <t>Reclame Aqui (resumo de busca)</t>
  </si>
  <si>
    <t>n/d</t>
  </si>
  <si>
    <t>Faixa histórica de taxa de vale (pré-decreto)</t>
  </si>
  <si>
    <t>6% a 13%</t>
  </si>
  <si>
    <t>gironews / resumo de busca</t>
  </si>
  <si>
    <t>Participação de vales no faturamento de restaurantes</t>
  </si>
  <si>
    <t>~15% (até 80% em alguns)</t>
  </si>
  <si>
    <t>Abrasel via gironews.com</t>
  </si>
  <si>
    <t>11/11/2025</t>
  </si>
  <si>
    <t>Requisitos e restrições para a Jilo</t>
  </si>
  <si>
    <t>CNPJ 05.574.020/0001-90 (dados públicos da Receita via brasilapi.com.br).</t>
  </si>
  <si>
    <t>Item</t>
  </si>
  <si>
    <t>Achado</t>
  </si>
  <si>
    <t>CNAE principal</t>
  </si>
  <si>
    <t>4712-1/00 (minimercado/mercearia) — tende a enquadrar no Alelo Alimentação.</t>
  </si>
  <si>
    <t>brasilapi.com.br (29/09/2026)</t>
  </si>
  <si>
    <t>CNAEs secundários</t>
  </si>
  <si>
    <t>5611-2/01 (restaurantes) e 5611-2/03 — habilitam o Alelo Refeição.</t>
  </si>
  <si>
    <t>Refeição x Alimentação</t>
  </si>
  <si>
    <t>Marmita congelada pode caber nos dois, conforme o CNAE/MCC aprovado. A decisão é da Alelo no credenciamento.</t>
  </si>
  <si>
    <t>pluxee.com.br (02/03/2026)</t>
  </si>
  <si>
    <t>Credenciamento</t>
  </si>
  <si>
    <t>Cadastro do CNPJ na Alelo (credenciamento.alelo.com.br ou 4002-5011). Aprovação em 3–10 dias úteis. Depois, o código de afiliação vai para a Cielo.</t>
  </si>
  <si>
    <t>Cielo docs; sindrio.com.br</t>
  </si>
  <si>
    <t>Tipo de transação</t>
  </si>
  <si>
    <t>Débito, bandeira enviada como Elo, sem 3DS. O cliente informa número, nome, validade e CVV.</t>
  </si>
  <si>
    <t>docs.cielo.com.br (03/06/2026)</t>
  </si>
  <si>
    <t>Cancelamento</t>
  </si>
  <si>
    <t>Sem pré-autorização e sem estorno parcial: só cancelamento total (impacta trocas/ajustes de pedido).</t>
  </si>
  <si>
    <t>Cielo Gateway docs (16/06/2026)</t>
  </si>
  <si>
    <t>Checkout</t>
  </si>
  <si>
    <t>Checkout Shopify não aceita vale. Pagamento Alelo precisa rodar fora dele, como a VR.</t>
  </si>
  <si>
    <t>Pesquisa de apps Shopify</t>
  </si>
  <si>
    <t>Descontos do site</t>
  </si>
  <si>
    <t>Definir se o cupom PIX5 também vale para Alelo (como foi decidido para a VR).</t>
  </si>
  <si>
    <t>Decisão de negócio pendente</t>
  </si>
  <si>
    <t>Fontes consultadas</t>
  </si>
  <si>
    <t>Acessadas em 29/09/2026.</t>
  </si>
  <si>
    <t>Uso</t>
  </si>
  <si>
    <t>https://docs.cielo.com.br/ecommerce-cielo/docs/alelo</t>
  </si>
  <si>
    <t>Alelo na API E-commerce Cielo</t>
  </si>
  <si>
    <t>https://docs.cielo.com.br/gateway/v1.0-en/reference/voucher-api</t>
  </si>
  <si>
    <t>Alelo/Ticket no Cielo Gateway (Braspag)</t>
  </si>
  <si>
    <t>https://docs.pagar.me/docs/voucher</t>
  </si>
  <si>
    <t>Pagar.me: vales aceitos e bloqueio Alelo</t>
  </si>
  <si>
    <t>https://www.adyen.com/pricing</t>
  </si>
  <si>
    <t>Preço indicativo Adyen</t>
  </si>
  <si>
    <t>https://help.adyen.com/updates/introduction-of-changes-to-voucher-pat-program-integration-visa-mastercard</t>
  </si>
  <si>
    <t>Mudança PAT na Adyen (fev/2026)</t>
  </si>
  <si>
    <t>https://www.alelo.com.br/estabelecimentos/credenciamento</t>
  </si>
  <si>
    <t>Credenciamento Alelo</t>
  </si>
  <si>
    <t>https://www.camara.leg.br (texto do Decreto 12.712/2025)</t>
  </si>
  <si>
    <t>Regras do PAT</t>
  </si>
  <si>
    <t>https://www.bloomberglinea.com.br (24/02/2026)</t>
  </si>
  <si>
    <t>TRF-3 derruba liminares</t>
  </si>
  <si>
    <t>https://www.migalhas.com.br/quentes/449739 ; /depeso/465252</t>
  </si>
  <si>
    <t>Liminar Alelo; STF ADI 7.962</t>
  </si>
  <si>
    <t>https://mercadoeconsumo.com.br (22/08/2026)</t>
  </si>
  <si>
    <t>Pesquisa Ipsos-Ipec/ANR 2026</t>
  </si>
  <si>
    <t>https://gironews.com</t>
  </si>
  <si>
    <t>Pesquisa 2025; participação dos vales</t>
  </si>
  <si>
    <t>https://braziljournal.com/cielo-e-alelo-redesenham-a-relacao/</t>
  </si>
  <si>
    <t>Contrato Cielo–Alelo (2022, 5 anos)</t>
  </si>
  <si>
    <t>https://apps.shopify.com/pagarme ; community.shopify.com</t>
  </si>
  <si>
    <t>Apps de pagamento Shopify Brasil</t>
  </si>
  <si>
    <t>https://brasilapi.com.br/api/cnpj/v1/05574020000190</t>
  </si>
  <si>
    <t>CNAEs da Jilo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</si>
</sst>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R\$\ #,##0.00;\(\R\$\ #,##0.00\);&quot;-&quot;"/>
    <numFmt numFmtId="165" formatCode="0.00%;\(0.00%\);&quot;-&quot;"/>
    <numFmt numFmtId="166" formatCode="\R\$\ #,##0;\(\R\$\ #,##0\);&quot;-&quot;"/>
  </numFmts>
  <fonts count="8" x14ac:knownFonts="1">
    <font>
      <sz val="11"/>
      <color theme="1"/>
      <name val="Calibri"/>
      <family val="2"/>
      <scheme val="minor"/>
    </font>
    <font>
      <b/>
      <sz val="14"/>
      <color rgb="FF1E3A1E"/>
      <name val="Arial"/>
    </font>
    <font>
      <i/>
      <sz val="10"/>
      <color rgb="FF555555"/>
      <name val="Arial"/>
    </font>
    <font>
      <b/>
      <sz val="11"/>
      <color rgb="FF1E3A1E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sz val="10"/>
      <color rgb="FF0000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E3A1E"/>
      </patternFill>
    </fill>
    <fill>
      <patternFill patternType="solid">
        <fgColor rgb="FFFFFF00"/>
      </patternFill>
    </fill>
    <fill>
      <patternFill patternType="solid">
        <fgColor rgb="FFD4EDDA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6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164" fontId="7" fillId="3" borderId="1" xfId="0" applyNumberFormat="1" applyFont="1" applyFill="1" applyBorder="1"/>
    <xf numFmtId="165" fontId="7" fillId="3" borderId="1" xfId="0" applyNumberFormat="1" applyFont="1" applyFill="1" applyBorder="1"/>
    <xf numFmtId="1" fontId="7" fillId="3" borderId="1" xfId="0" applyNumberFormat="1" applyFont="1" applyFill="1" applyBorder="1"/>
    <xf numFmtId="166" fontId="7" fillId="3" borderId="1" xfId="0" applyNumberFormat="1" applyFont="1" applyFill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5" fontId="5" fillId="0" borderId="1" xfId="0" applyNumberFormat="1" applyFont="1" applyBorder="1"/>
    <xf numFmtId="0" fontId="5" fillId="0" borderId="0" xfId="0" applyFont="1"/>
    <xf numFmtId="0" fontId="4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165" fontId="5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3A1E"/>
  </sheetPr>
  <dimension ref="A1:B21"/>
  <sheetViews>
    <sheetView showGridLines="0" tabSelected="1" workbookViewId="0"/>
  </sheetViews>
  <sheetFormatPr defaultRowHeight="15" x14ac:dyDescent="0.25"/>
  <cols>
    <col min="1" max="1" width="4" customWidth="1"/>
    <col min="2" max="2" width="120" customWidth="1"/>
  </cols>
  <sheetData>
    <row r="1" spans="1:2" ht="18" x14ac:dyDescent="0.25">
      <c r="A1" s="1" t="s">
        <v>0</v>
      </c>
    </row>
    <row r="2" spans="1:2" x14ac:dyDescent="0.25">
      <c r="A2" s="2" t="s">
        <v>1</v>
      </c>
    </row>
    <row r="4" spans="1:2" x14ac:dyDescent="0.25">
      <c r="A4" s="3" t="s">
        <v>2</v>
      </c>
    </row>
    <row r="5" spans="1:2" ht="25.5" x14ac:dyDescent="0.25">
      <c r="A5" s="4" t="s">
        <v>3</v>
      </c>
      <c r="B5" s="5" t="s">
        <v>4</v>
      </c>
    </row>
    <row r="6" spans="1:2" ht="25.5" x14ac:dyDescent="0.25">
      <c r="A6" s="4" t="s">
        <v>5</v>
      </c>
      <c r="B6" s="5" t="s">
        <v>6</v>
      </c>
    </row>
    <row r="7" spans="1:2" ht="25.5" x14ac:dyDescent="0.25">
      <c r="A7" s="4" t="s">
        <v>7</v>
      </c>
      <c r="B7" s="5" t="s">
        <v>8</v>
      </c>
    </row>
    <row r="8" spans="1:2" ht="25.5" x14ac:dyDescent="0.25">
      <c r="A8" s="4" t="s">
        <v>9</v>
      </c>
      <c r="B8" s="5" t="s">
        <v>10</v>
      </c>
    </row>
    <row r="9" spans="1:2" ht="38.25" x14ac:dyDescent="0.25">
      <c r="A9" s="4" t="s">
        <v>11</v>
      </c>
      <c r="B9" s="5" t="s">
        <v>12</v>
      </c>
    </row>
    <row r="10" spans="1:2" ht="25.5" x14ac:dyDescent="0.25">
      <c r="A10" s="4" t="s">
        <v>13</v>
      </c>
      <c r="B10" s="5" t="s">
        <v>14</v>
      </c>
    </row>
    <row r="11" spans="1:2" x14ac:dyDescent="0.25">
      <c r="A11" s="4"/>
      <c r="B11" s="5"/>
    </row>
    <row r="12" spans="1:2" x14ac:dyDescent="0.25">
      <c r="A12" s="3" t="s">
        <v>15</v>
      </c>
    </row>
    <row r="13" spans="1:2" ht="25.5" x14ac:dyDescent="0.25">
      <c r="A13" s="4" t="s">
        <v>3</v>
      </c>
      <c r="B13" s="5" t="s">
        <v>16</v>
      </c>
    </row>
    <row r="14" spans="1:2" x14ac:dyDescent="0.25">
      <c r="A14" s="4" t="s">
        <v>5</v>
      </c>
      <c r="B14" s="5" t="s">
        <v>17</v>
      </c>
    </row>
    <row r="15" spans="1:2" x14ac:dyDescent="0.25">
      <c r="A15" s="4" t="s">
        <v>7</v>
      </c>
      <c r="B15" s="5" t="s">
        <v>18</v>
      </c>
    </row>
    <row r="16" spans="1:2" x14ac:dyDescent="0.25">
      <c r="A16" s="4" t="s">
        <v>9</v>
      </c>
      <c r="B16" s="5" t="s">
        <v>19</v>
      </c>
    </row>
    <row r="17" spans="1:2" x14ac:dyDescent="0.25">
      <c r="A17" s="4"/>
      <c r="B17" s="5"/>
    </row>
    <row r="18" spans="1:2" x14ac:dyDescent="0.25">
      <c r="A18" s="3" t="s">
        <v>20</v>
      </c>
    </row>
    <row r="19" spans="1:2" x14ac:dyDescent="0.25">
      <c r="A19" s="4" t="s">
        <v>21</v>
      </c>
      <c r="B19" s="5" t="s">
        <v>22</v>
      </c>
    </row>
    <row r="20" spans="1:2" x14ac:dyDescent="0.25">
      <c r="A20" s="4" t="s">
        <v>21</v>
      </c>
      <c r="B20" s="5" t="s">
        <v>23</v>
      </c>
    </row>
    <row r="21" spans="1:2" ht="25.5" x14ac:dyDescent="0.25">
      <c r="A21" s="4" t="s">
        <v>21</v>
      </c>
      <c r="B21" s="5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3A1E"/>
  </sheetPr>
  <dimension ref="A1:C17"/>
  <sheetViews>
    <sheetView showGridLines="0" workbookViewId="0"/>
  </sheetViews>
  <sheetFormatPr defaultRowHeight="15" x14ac:dyDescent="0.25"/>
  <cols>
    <col min="1" max="1" width="48" customWidth="1"/>
    <col min="2" max="2" width="16" customWidth="1"/>
    <col min="3" max="3" width="70" customWidth="1"/>
  </cols>
  <sheetData>
    <row r="1" spans="1:3" ht="18" x14ac:dyDescent="0.25">
      <c r="A1" s="1" t="s">
        <v>25</v>
      </c>
    </row>
    <row r="2" spans="1:3" x14ac:dyDescent="0.25">
      <c r="A2" s="2" t="s">
        <v>26</v>
      </c>
    </row>
    <row r="4" spans="1:3" x14ac:dyDescent="0.25">
      <c r="A4" s="6" t="s">
        <v>27</v>
      </c>
      <c r="B4" s="6" t="s">
        <v>28</v>
      </c>
      <c r="C4" s="6" t="s">
        <v>29</v>
      </c>
    </row>
    <row r="5" spans="1:3" ht="25.5" x14ac:dyDescent="0.25">
      <c r="A5" s="7" t="s">
        <v>30</v>
      </c>
      <c r="B5" s="8">
        <v>150</v>
      </c>
      <c r="C5" s="7" t="s">
        <v>31</v>
      </c>
    </row>
    <row r="6" spans="1:3" x14ac:dyDescent="0.25">
      <c r="A6" s="7" t="s">
        <v>32</v>
      </c>
      <c r="B6" s="9">
        <v>3.5999999999999997E-2</v>
      </c>
      <c r="C6" s="7" t="s">
        <v>33</v>
      </c>
    </row>
    <row r="7" spans="1:3" x14ac:dyDescent="0.25">
      <c r="A7" s="7" t="s">
        <v>34</v>
      </c>
      <c r="B7" s="8">
        <v>0</v>
      </c>
      <c r="C7" s="7" t="s">
        <v>35</v>
      </c>
    </row>
    <row r="8" spans="1:3" x14ac:dyDescent="0.25">
      <c r="A8" s="7" t="s">
        <v>36</v>
      </c>
      <c r="B8" s="9">
        <v>6.1800000000000001E-2</v>
      </c>
      <c r="C8" s="7" t="s">
        <v>37</v>
      </c>
    </row>
    <row r="9" spans="1:3" x14ac:dyDescent="0.25">
      <c r="A9" s="7" t="s">
        <v>38</v>
      </c>
      <c r="B9" s="8">
        <v>0</v>
      </c>
      <c r="C9" s="7" t="s">
        <v>39</v>
      </c>
    </row>
    <row r="10" spans="1:3" x14ac:dyDescent="0.25">
      <c r="A10" s="7" t="s">
        <v>40</v>
      </c>
      <c r="B10" s="9">
        <v>8.6199999999999999E-2</v>
      </c>
      <c r="C10" s="7" t="s">
        <v>41</v>
      </c>
    </row>
    <row r="11" spans="1:3" ht="25.5" x14ac:dyDescent="0.25">
      <c r="A11" s="7" t="s">
        <v>42</v>
      </c>
      <c r="B11" s="8">
        <v>0.55000000000000004</v>
      </c>
      <c r="C11" s="7" t="s">
        <v>43</v>
      </c>
    </row>
    <row r="12" spans="1:3" x14ac:dyDescent="0.25">
      <c r="A12" s="7" t="s">
        <v>44</v>
      </c>
      <c r="B12" s="8">
        <v>0</v>
      </c>
      <c r="C12" s="7" t="s">
        <v>45</v>
      </c>
    </row>
    <row r="13" spans="1:3" x14ac:dyDescent="0.25">
      <c r="A13" s="7" t="s">
        <v>46</v>
      </c>
      <c r="B13" s="8">
        <v>0</v>
      </c>
      <c r="C13" s="7" t="s">
        <v>45</v>
      </c>
    </row>
    <row r="14" spans="1:3" x14ac:dyDescent="0.25">
      <c r="A14" s="7" t="s">
        <v>47</v>
      </c>
      <c r="B14" s="9">
        <v>1.06E-2</v>
      </c>
      <c r="C14" s="7" t="s">
        <v>48</v>
      </c>
    </row>
    <row r="15" spans="1:3" x14ac:dyDescent="0.25">
      <c r="A15" s="7" t="s">
        <v>49</v>
      </c>
      <c r="B15" s="9">
        <v>1.77E-2</v>
      </c>
      <c r="C15" s="7" t="s">
        <v>48</v>
      </c>
    </row>
    <row r="16" spans="1:3" x14ac:dyDescent="0.25">
      <c r="A16" s="7" t="s">
        <v>50</v>
      </c>
      <c r="B16" s="9">
        <v>3.6200000000000003E-2</v>
      </c>
      <c r="C16" s="7" t="s">
        <v>48</v>
      </c>
    </row>
    <row r="17" spans="1:3" x14ac:dyDescent="0.25">
      <c r="A17" s="7" t="s">
        <v>51</v>
      </c>
      <c r="B17" s="10">
        <v>15</v>
      </c>
      <c r="C17" s="7" t="s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3A1E"/>
  </sheetPr>
  <dimension ref="A1:N21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8" customWidth="1"/>
    <col min="2" max="2" width="11" customWidth="1"/>
    <col min="3" max="3" width="17" customWidth="1"/>
    <col min="4" max="4" width="10" customWidth="1"/>
    <col min="5" max="5" width="17" customWidth="1"/>
    <col min="6" max="6" width="10" customWidth="1"/>
    <col min="7" max="7" width="17" customWidth="1"/>
    <col min="8" max="8" width="10" customWidth="1"/>
    <col min="9" max="10" width="15" customWidth="1"/>
    <col min="11" max="11" width="17" customWidth="1"/>
    <col min="12" max="13" width="16" customWidth="1"/>
    <col min="14" max="14" width="18" customWidth="1"/>
  </cols>
  <sheetData>
    <row r="1" spans="1:14" ht="18" x14ac:dyDescent="0.25">
      <c r="A1" s="1" t="s">
        <v>53</v>
      </c>
    </row>
    <row r="2" spans="1:14" x14ac:dyDescent="0.25">
      <c r="A2" s="2" t="s">
        <v>54</v>
      </c>
    </row>
    <row r="4" spans="1:14" ht="57.95" customHeight="1" x14ac:dyDescent="0.25">
      <c r="A4" s="6" t="s">
        <v>55</v>
      </c>
      <c r="B4" s="6" t="s">
        <v>56</v>
      </c>
      <c r="C4" s="6" t="s">
        <v>57</v>
      </c>
      <c r="D4" s="6" t="s">
        <v>58</v>
      </c>
      <c r="E4" s="6" t="s">
        <v>59</v>
      </c>
      <c r="F4" s="6" t="s">
        <v>60</v>
      </c>
      <c r="G4" s="6" t="s">
        <v>61</v>
      </c>
      <c r="H4" s="6" t="s">
        <v>62</v>
      </c>
      <c r="I4" s="6" t="s">
        <v>63</v>
      </c>
      <c r="J4" s="6" t="s">
        <v>64</v>
      </c>
      <c r="K4" s="6" t="s">
        <v>65</v>
      </c>
      <c r="L4" s="6" t="s">
        <v>66</v>
      </c>
      <c r="M4" s="6" t="s">
        <v>67</v>
      </c>
      <c r="N4" s="6" t="s">
        <v>68</v>
      </c>
    </row>
    <row r="5" spans="1:14" x14ac:dyDescent="0.25">
      <c r="A5" s="11">
        <v>2000</v>
      </c>
      <c r="B5" s="12">
        <f>IF(Premissas!$B$5&gt;0,ROUND(A5/Premissas!$B$5,0),0)</f>
        <v>13</v>
      </c>
      <c r="C5" s="13">
        <f>A5*Premissas!$B$6+B5*(Premissas!$B$7+Premissas!$B$12)+Premissas!$B$13</f>
        <v>72</v>
      </c>
      <c r="D5" s="14">
        <f t="shared" ref="D5:D14" si="0">IF(A5&gt;0,C5/A5,0)</f>
        <v>3.5999999999999997E-2</v>
      </c>
      <c r="E5" s="13">
        <f>A5*Premissas!$B$8+B5*(Premissas!$B$9+Premissas!$B$12)+Premissas!$B$13</f>
        <v>123.60000000000001</v>
      </c>
      <c r="F5" s="14">
        <f t="shared" ref="F5:F14" si="1">IF(A5&gt;0,E5/A5,0)</f>
        <v>6.1800000000000008E-2</v>
      </c>
      <c r="G5" s="13">
        <f>A5*Premissas!$B$10+B5*(Premissas!$B$11+Premissas!$B$12)+Premissas!$B$13</f>
        <v>179.55</v>
      </c>
      <c r="H5" s="14">
        <f t="shared" ref="H5:H14" si="2">IF(A5&gt;0,G5/A5,0)</f>
        <v>8.9775000000000008E-2</v>
      </c>
      <c r="I5" s="13">
        <f>A5*Premissas!$B$14</f>
        <v>21.2</v>
      </c>
      <c r="J5" s="13">
        <f>A5*Premissas!$B$16</f>
        <v>72.400000000000006</v>
      </c>
      <c r="K5" s="13">
        <f t="shared" ref="K5:K14" si="3">E5-I5</f>
        <v>102.4</v>
      </c>
      <c r="L5" s="13">
        <f t="shared" ref="L5:L14" si="4">C5*12</f>
        <v>864</v>
      </c>
      <c r="M5" s="13">
        <f t="shared" ref="M5:M14" si="5">G5*12</f>
        <v>2154.6000000000004</v>
      </c>
      <c r="N5" s="13">
        <f t="shared" ref="N5:N14" si="6">M5-L5</f>
        <v>1290.6000000000004</v>
      </c>
    </row>
    <row r="6" spans="1:14" x14ac:dyDescent="0.25">
      <c r="A6" s="11">
        <v>5000</v>
      </c>
      <c r="B6" s="12">
        <f>IF(Premissas!$B$5&gt;0,ROUND(A6/Premissas!$B$5,0),0)</f>
        <v>33</v>
      </c>
      <c r="C6" s="13">
        <f>A6*Premissas!$B$6+B6*(Premissas!$B$7+Premissas!$B$12)+Premissas!$B$13</f>
        <v>180</v>
      </c>
      <c r="D6" s="14">
        <f t="shared" si="0"/>
        <v>3.5999999999999997E-2</v>
      </c>
      <c r="E6" s="13">
        <f>A6*Premissas!$B$8+B6*(Premissas!$B$9+Premissas!$B$12)+Premissas!$B$13</f>
        <v>309</v>
      </c>
      <c r="F6" s="14">
        <f t="shared" si="1"/>
        <v>6.1800000000000001E-2</v>
      </c>
      <c r="G6" s="13">
        <f>A6*Premissas!$B$10+B6*(Premissas!$B$11+Premissas!$B$12)+Premissas!$B$13</f>
        <v>449.15</v>
      </c>
      <c r="H6" s="14">
        <f t="shared" si="2"/>
        <v>8.9829999999999993E-2</v>
      </c>
      <c r="I6" s="13">
        <f>A6*Premissas!$B$14</f>
        <v>53</v>
      </c>
      <c r="J6" s="13">
        <f>A6*Premissas!$B$16</f>
        <v>181.00000000000003</v>
      </c>
      <c r="K6" s="13">
        <f t="shared" si="3"/>
        <v>256</v>
      </c>
      <c r="L6" s="13">
        <f t="shared" si="4"/>
        <v>2160</v>
      </c>
      <c r="M6" s="13">
        <f t="shared" si="5"/>
        <v>5389.7999999999993</v>
      </c>
      <c r="N6" s="13">
        <f t="shared" si="6"/>
        <v>3229.7999999999993</v>
      </c>
    </row>
    <row r="7" spans="1:14" x14ac:dyDescent="0.25">
      <c r="A7" s="11">
        <v>10000</v>
      </c>
      <c r="B7" s="12">
        <f>IF(Premissas!$B$5&gt;0,ROUND(A7/Premissas!$B$5,0),0)</f>
        <v>67</v>
      </c>
      <c r="C7" s="13">
        <f>A7*Premissas!$B$6+B7*(Premissas!$B$7+Premissas!$B$12)+Premissas!$B$13</f>
        <v>360</v>
      </c>
      <c r="D7" s="14">
        <f t="shared" si="0"/>
        <v>3.5999999999999997E-2</v>
      </c>
      <c r="E7" s="13">
        <f>A7*Premissas!$B$8+B7*(Premissas!$B$9+Premissas!$B$12)+Premissas!$B$13</f>
        <v>618</v>
      </c>
      <c r="F7" s="14">
        <f t="shared" si="1"/>
        <v>6.1800000000000001E-2</v>
      </c>
      <c r="G7" s="13">
        <f>A7*Premissas!$B$10+B7*(Premissas!$B$11+Premissas!$B$12)+Premissas!$B$13</f>
        <v>898.85</v>
      </c>
      <c r="H7" s="14">
        <f t="shared" si="2"/>
        <v>8.9885000000000007E-2</v>
      </c>
      <c r="I7" s="13">
        <f>A7*Premissas!$B$14</f>
        <v>106</v>
      </c>
      <c r="J7" s="13">
        <f>A7*Premissas!$B$16</f>
        <v>362.00000000000006</v>
      </c>
      <c r="K7" s="13">
        <f t="shared" si="3"/>
        <v>512</v>
      </c>
      <c r="L7" s="13">
        <f t="shared" si="4"/>
        <v>4320</v>
      </c>
      <c r="M7" s="13">
        <f t="shared" si="5"/>
        <v>10786.2</v>
      </c>
      <c r="N7" s="13">
        <f t="shared" si="6"/>
        <v>6466.2000000000007</v>
      </c>
    </row>
    <row r="8" spans="1:14" x14ac:dyDescent="0.25">
      <c r="A8" s="11">
        <v>20000</v>
      </c>
      <c r="B8" s="12">
        <f>IF(Premissas!$B$5&gt;0,ROUND(A8/Premissas!$B$5,0),0)</f>
        <v>133</v>
      </c>
      <c r="C8" s="13">
        <f>A8*Premissas!$B$6+B8*(Premissas!$B$7+Premissas!$B$12)+Premissas!$B$13</f>
        <v>720</v>
      </c>
      <c r="D8" s="14">
        <f t="shared" si="0"/>
        <v>3.5999999999999997E-2</v>
      </c>
      <c r="E8" s="13">
        <f>A8*Premissas!$B$8+B8*(Premissas!$B$9+Premissas!$B$12)+Premissas!$B$13</f>
        <v>1236</v>
      </c>
      <c r="F8" s="14">
        <f t="shared" si="1"/>
        <v>6.1800000000000001E-2</v>
      </c>
      <c r="G8" s="13">
        <f>A8*Premissas!$B$10+B8*(Premissas!$B$11+Premissas!$B$12)+Premissas!$B$13</f>
        <v>1797.15</v>
      </c>
      <c r="H8" s="14">
        <f t="shared" si="2"/>
        <v>8.9857500000000007E-2</v>
      </c>
      <c r="I8" s="13">
        <f>A8*Premissas!$B$14</f>
        <v>212</v>
      </c>
      <c r="J8" s="13">
        <f>A8*Premissas!$B$16</f>
        <v>724.00000000000011</v>
      </c>
      <c r="K8" s="13">
        <f t="shared" si="3"/>
        <v>1024</v>
      </c>
      <c r="L8" s="13">
        <f t="shared" si="4"/>
        <v>8640</v>
      </c>
      <c r="M8" s="13">
        <f t="shared" si="5"/>
        <v>21565.800000000003</v>
      </c>
      <c r="N8" s="13">
        <f t="shared" si="6"/>
        <v>12925.800000000003</v>
      </c>
    </row>
    <row r="9" spans="1:14" x14ac:dyDescent="0.25">
      <c r="A9" s="11">
        <v>30000</v>
      </c>
      <c r="B9" s="12">
        <f>IF(Premissas!$B$5&gt;0,ROUND(A9/Premissas!$B$5,0),0)</f>
        <v>200</v>
      </c>
      <c r="C9" s="13">
        <f>A9*Premissas!$B$6+B9*(Premissas!$B$7+Premissas!$B$12)+Premissas!$B$13</f>
        <v>1080</v>
      </c>
      <c r="D9" s="14">
        <f t="shared" si="0"/>
        <v>3.5999999999999997E-2</v>
      </c>
      <c r="E9" s="13">
        <f>A9*Premissas!$B$8+B9*(Premissas!$B$9+Premissas!$B$12)+Premissas!$B$13</f>
        <v>1854</v>
      </c>
      <c r="F9" s="14">
        <f t="shared" si="1"/>
        <v>6.1800000000000001E-2</v>
      </c>
      <c r="G9" s="13">
        <f>A9*Premissas!$B$10+B9*(Premissas!$B$11+Premissas!$B$12)+Premissas!$B$13</f>
        <v>2696</v>
      </c>
      <c r="H9" s="14">
        <f t="shared" si="2"/>
        <v>8.9866666666666664E-2</v>
      </c>
      <c r="I9" s="13">
        <f>A9*Premissas!$B$14</f>
        <v>318</v>
      </c>
      <c r="J9" s="13">
        <f>A9*Premissas!$B$16</f>
        <v>1086</v>
      </c>
      <c r="K9" s="13">
        <f t="shared" si="3"/>
        <v>1536</v>
      </c>
      <c r="L9" s="13">
        <f t="shared" si="4"/>
        <v>12960</v>
      </c>
      <c r="M9" s="13">
        <f t="shared" si="5"/>
        <v>32352</v>
      </c>
      <c r="N9" s="13">
        <f t="shared" si="6"/>
        <v>19392</v>
      </c>
    </row>
    <row r="10" spans="1:14" x14ac:dyDescent="0.25">
      <c r="A10" s="11">
        <v>50000</v>
      </c>
      <c r="B10" s="12">
        <f>IF(Premissas!$B$5&gt;0,ROUND(A10/Premissas!$B$5,0),0)</f>
        <v>333</v>
      </c>
      <c r="C10" s="13">
        <f>A10*Premissas!$B$6+B10*(Premissas!$B$7+Premissas!$B$12)+Premissas!$B$13</f>
        <v>1799.9999999999998</v>
      </c>
      <c r="D10" s="14">
        <f t="shared" si="0"/>
        <v>3.5999999999999997E-2</v>
      </c>
      <c r="E10" s="13">
        <f>A10*Premissas!$B$8+B10*(Premissas!$B$9+Premissas!$B$12)+Premissas!$B$13</f>
        <v>3090</v>
      </c>
      <c r="F10" s="14">
        <f t="shared" si="1"/>
        <v>6.1800000000000001E-2</v>
      </c>
      <c r="G10" s="13">
        <f>A10*Premissas!$B$10+B10*(Premissas!$B$11+Premissas!$B$12)+Premissas!$B$13</f>
        <v>4493.1499999999996</v>
      </c>
      <c r="H10" s="14">
        <f t="shared" si="2"/>
        <v>8.9862999999999998E-2</v>
      </c>
      <c r="I10" s="13">
        <f>A10*Premissas!$B$14</f>
        <v>530</v>
      </c>
      <c r="J10" s="13">
        <f>A10*Premissas!$B$16</f>
        <v>1810.0000000000002</v>
      </c>
      <c r="K10" s="13">
        <f t="shared" si="3"/>
        <v>2560</v>
      </c>
      <c r="L10" s="13">
        <f t="shared" si="4"/>
        <v>21599.999999999996</v>
      </c>
      <c r="M10" s="13">
        <f t="shared" si="5"/>
        <v>53917.799999999996</v>
      </c>
      <c r="N10" s="13">
        <f t="shared" si="6"/>
        <v>32317.8</v>
      </c>
    </row>
    <row r="11" spans="1:14" x14ac:dyDescent="0.25">
      <c r="A11" s="11">
        <v>75000</v>
      </c>
      <c r="B11" s="12">
        <f>IF(Premissas!$B$5&gt;0,ROUND(A11/Premissas!$B$5,0),0)</f>
        <v>500</v>
      </c>
      <c r="C11" s="13">
        <f>A11*Premissas!$B$6+B11*(Premissas!$B$7+Premissas!$B$12)+Premissas!$B$13</f>
        <v>2700</v>
      </c>
      <c r="D11" s="14">
        <f t="shared" si="0"/>
        <v>3.5999999999999997E-2</v>
      </c>
      <c r="E11" s="13">
        <f>A11*Premissas!$B$8+B11*(Premissas!$B$9+Premissas!$B$12)+Premissas!$B$13</f>
        <v>4635</v>
      </c>
      <c r="F11" s="14">
        <f t="shared" si="1"/>
        <v>6.1800000000000001E-2</v>
      </c>
      <c r="G11" s="13">
        <f>A11*Premissas!$B$10+B11*(Premissas!$B$11+Premissas!$B$12)+Premissas!$B$13</f>
        <v>6740</v>
      </c>
      <c r="H11" s="14">
        <f t="shared" si="2"/>
        <v>8.9866666666666664E-2</v>
      </c>
      <c r="I11" s="13">
        <f>A11*Premissas!$B$14</f>
        <v>795</v>
      </c>
      <c r="J11" s="13">
        <f>A11*Premissas!$B$16</f>
        <v>2715</v>
      </c>
      <c r="K11" s="13">
        <f t="shared" si="3"/>
        <v>3840</v>
      </c>
      <c r="L11" s="13">
        <f t="shared" si="4"/>
        <v>32400</v>
      </c>
      <c r="M11" s="13">
        <f t="shared" si="5"/>
        <v>80880</v>
      </c>
      <c r="N11" s="13">
        <f t="shared" si="6"/>
        <v>48480</v>
      </c>
    </row>
    <row r="12" spans="1:14" x14ac:dyDescent="0.25">
      <c r="A12" s="11">
        <v>100000</v>
      </c>
      <c r="B12" s="12">
        <f>IF(Premissas!$B$5&gt;0,ROUND(A12/Premissas!$B$5,0),0)</f>
        <v>667</v>
      </c>
      <c r="C12" s="13">
        <f>A12*Premissas!$B$6+B12*(Premissas!$B$7+Premissas!$B$12)+Premissas!$B$13</f>
        <v>3599.9999999999995</v>
      </c>
      <c r="D12" s="14">
        <f t="shared" si="0"/>
        <v>3.5999999999999997E-2</v>
      </c>
      <c r="E12" s="13">
        <f>A12*Premissas!$B$8+B12*(Premissas!$B$9+Premissas!$B$12)+Premissas!$B$13</f>
        <v>6180</v>
      </c>
      <c r="F12" s="14">
        <f t="shared" si="1"/>
        <v>6.1800000000000001E-2</v>
      </c>
      <c r="G12" s="13">
        <f>A12*Premissas!$B$10+B12*(Premissas!$B$11+Premissas!$B$12)+Premissas!$B$13</f>
        <v>8986.85</v>
      </c>
      <c r="H12" s="14">
        <f t="shared" si="2"/>
        <v>8.9868500000000004E-2</v>
      </c>
      <c r="I12" s="13">
        <f>A12*Premissas!$B$14</f>
        <v>1060</v>
      </c>
      <c r="J12" s="13">
        <f>A12*Premissas!$B$16</f>
        <v>3620.0000000000005</v>
      </c>
      <c r="K12" s="13">
        <f t="shared" si="3"/>
        <v>5120</v>
      </c>
      <c r="L12" s="13">
        <f t="shared" si="4"/>
        <v>43199.999999999993</v>
      </c>
      <c r="M12" s="13">
        <f t="shared" si="5"/>
        <v>107842.20000000001</v>
      </c>
      <c r="N12" s="13">
        <f t="shared" si="6"/>
        <v>64642.200000000019</v>
      </c>
    </row>
    <row r="13" spans="1:14" x14ac:dyDescent="0.25">
      <c r="A13" s="11">
        <v>150000</v>
      </c>
      <c r="B13" s="12">
        <f>IF(Premissas!$B$5&gt;0,ROUND(A13/Premissas!$B$5,0),0)</f>
        <v>1000</v>
      </c>
      <c r="C13" s="13">
        <f>A13*Premissas!$B$6+B13*(Premissas!$B$7+Premissas!$B$12)+Premissas!$B$13</f>
        <v>5400</v>
      </c>
      <c r="D13" s="14">
        <f t="shared" si="0"/>
        <v>3.5999999999999997E-2</v>
      </c>
      <c r="E13" s="13">
        <f>A13*Premissas!$B$8+B13*(Premissas!$B$9+Premissas!$B$12)+Premissas!$B$13</f>
        <v>9270</v>
      </c>
      <c r="F13" s="14">
        <f t="shared" si="1"/>
        <v>6.1800000000000001E-2</v>
      </c>
      <c r="G13" s="13">
        <f>A13*Premissas!$B$10+B13*(Premissas!$B$11+Premissas!$B$12)+Premissas!$B$13</f>
        <v>13480</v>
      </c>
      <c r="H13" s="14">
        <f t="shared" si="2"/>
        <v>8.9866666666666664E-2</v>
      </c>
      <c r="I13" s="13">
        <f>A13*Premissas!$B$14</f>
        <v>1590</v>
      </c>
      <c r="J13" s="13">
        <f>A13*Premissas!$B$16</f>
        <v>5430</v>
      </c>
      <c r="K13" s="13">
        <f t="shared" si="3"/>
        <v>7680</v>
      </c>
      <c r="L13" s="13">
        <f t="shared" si="4"/>
        <v>64800</v>
      </c>
      <c r="M13" s="13">
        <f t="shared" si="5"/>
        <v>161760</v>
      </c>
      <c r="N13" s="13">
        <f t="shared" si="6"/>
        <v>96960</v>
      </c>
    </row>
    <row r="14" spans="1:14" x14ac:dyDescent="0.25">
      <c r="A14" s="11">
        <v>200000</v>
      </c>
      <c r="B14" s="12">
        <f>IF(Premissas!$B$5&gt;0,ROUND(A14/Premissas!$B$5,0),0)</f>
        <v>1333</v>
      </c>
      <c r="C14" s="13">
        <f>A14*Premissas!$B$6+B14*(Premissas!$B$7+Premissas!$B$12)+Premissas!$B$13</f>
        <v>7199.9999999999991</v>
      </c>
      <c r="D14" s="14">
        <f t="shared" si="0"/>
        <v>3.5999999999999997E-2</v>
      </c>
      <c r="E14" s="13">
        <f>A14*Premissas!$B$8+B14*(Premissas!$B$9+Premissas!$B$12)+Premissas!$B$13</f>
        <v>12360</v>
      </c>
      <c r="F14" s="14">
        <f t="shared" si="1"/>
        <v>6.1800000000000001E-2</v>
      </c>
      <c r="G14" s="13">
        <f>A14*Premissas!$B$10+B14*(Premissas!$B$11+Premissas!$B$12)+Premissas!$B$13</f>
        <v>17973.150000000001</v>
      </c>
      <c r="H14" s="14">
        <f t="shared" si="2"/>
        <v>8.9865750000000008E-2</v>
      </c>
      <c r="I14" s="13">
        <f>A14*Premissas!$B$14</f>
        <v>2120</v>
      </c>
      <c r="J14" s="13">
        <f>A14*Premissas!$B$16</f>
        <v>7240.0000000000009</v>
      </c>
      <c r="K14" s="13">
        <f t="shared" si="3"/>
        <v>10240</v>
      </c>
      <c r="L14" s="13">
        <f t="shared" si="4"/>
        <v>86399.999999999985</v>
      </c>
      <c r="M14" s="13">
        <f t="shared" si="5"/>
        <v>215677.80000000002</v>
      </c>
      <c r="N14" s="13">
        <f t="shared" si="6"/>
        <v>129277.80000000003</v>
      </c>
    </row>
    <row r="16" spans="1:14" x14ac:dyDescent="0.25">
      <c r="A16" s="4" t="s">
        <v>69</v>
      </c>
    </row>
    <row r="17" spans="1:1" x14ac:dyDescent="0.25">
      <c r="A17" s="15" t="s">
        <v>70</v>
      </c>
    </row>
    <row r="18" spans="1:1" x14ac:dyDescent="0.25">
      <c r="A18" s="15" t="s">
        <v>71</v>
      </c>
    </row>
    <row r="19" spans="1:1" x14ac:dyDescent="0.25">
      <c r="A19" s="15" t="s">
        <v>72</v>
      </c>
    </row>
    <row r="20" spans="1:1" x14ac:dyDescent="0.25">
      <c r="A20" s="15" t="s">
        <v>73</v>
      </c>
    </row>
    <row r="21" spans="1:1" x14ac:dyDescent="0.25">
      <c r="A21" s="15" t="s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E3A1E"/>
  </sheetPr>
  <dimension ref="A1:K13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4" customWidth="1"/>
    <col min="2" max="2" width="38" customWidth="1"/>
    <col min="3" max="3" width="24" customWidth="1"/>
    <col min="4" max="6" width="20" customWidth="1"/>
    <col min="7" max="7" width="18" customWidth="1"/>
    <col min="8" max="8" width="30" customWidth="1"/>
    <col min="9" max="9" width="18" customWidth="1"/>
    <col min="10" max="10" width="42" customWidth="1"/>
    <col min="11" max="11" width="14" customWidth="1"/>
  </cols>
  <sheetData>
    <row r="1" spans="1:11" ht="18" x14ac:dyDescent="0.25">
      <c r="A1" s="1" t="s">
        <v>75</v>
      </c>
    </row>
    <row r="2" spans="1:11" x14ac:dyDescent="0.25">
      <c r="A2" s="2" t="s">
        <v>76</v>
      </c>
    </row>
    <row r="4" spans="1:11" ht="25.5" x14ac:dyDescent="0.25">
      <c r="A4" s="6" t="s">
        <v>77</v>
      </c>
      <c r="B4" s="6" t="s">
        <v>78</v>
      </c>
      <c r="C4" s="6" t="s">
        <v>79</v>
      </c>
      <c r="D4" s="6" t="s">
        <v>80</v>
      </c>
      <c r="E4" s="6" t="s">
        <v>81</v>
      </c>
      <c r="F4" s="6" t="s">
        <v>82</v>
      </c>
      <c r="G4" s="6" t="s">
        <v>83</v>
      </c>
      <c r="H4" s="6" t="s">
        <v>84</v>
      </c>
      <c r="I4" s="6" t="s">
        <v>85</v>
      </c>
      <c r="J4" s="6" t="s">
        <v>86</v>
      </c>
      <c r="K4" s="6" t="s">
        <v>87</v>
      </c>
    </row>
    <row r="5" spans="1:11" ht="51" x14ac:dyDescent="0.25">
      <c r="A5" s="16" t="s">
        <v>88</v>
      </c>
      <c r="B5" s="17" t="s">
        <v>89</v>
      </c>
      <c r="C5" s="7" t="s">
        <v>90</v>
      </c>
      <c r="D5" s="7" t="s">
        <v>91</v>
      </c>
      <c r="E5" s="7" t="s">
        <v>92</v>
      </c>
      <c r="F5" s="7" t="s">
        <v>93</v>
      </c>
      <c r="G5" s="7" t="s">
        <v>94</v>
      </c>
      <c r="H5" s="7" t="s">
        <v>95</v>
      </c>
      <c r="I5" s="7" t="s">
        <v>96</v>
      </c>
      <c r="J5" s="7" t="s">
        <v>97</v>
      </c>
      <c r="K5" s="7" t="s">
        <v>98</v>
      </c>
    </row>
    <row r="6" spans="1:11" ht="38.25" x14ac:dyDescent="0.25">
      <c r="A6" s="16" t="s">
        <v>99</v>
      </c>
      <c r="B6" s="17" t="s">
        <v>100</v>
      </c>
      <c r="C6" s="7" t="s">
        <v>101</v>
      </c>
      <c r="D6" s="7" t="s">
        <v>102</v>
      </c>
      <c r="E6" s="7" t="s">
        <v>92</v>
      </c>
      <c r="F6" s="7" t="s">
        <v>103</v>
      </c>
      <c r="G6" s="7" t="s">
        <v>104</v>
      </c>
      <c r="H6" s="7" t="s">
        <v>105</v>
      </c>
      <c r="I6" s="7" t="s">
        <v>106</v>
      </c>
      <c r="J6" s="7" t="s">
        <v>107</v>
      </c>
      <c r="K6" s="7" t="s">
        <v>108</v>
      </c>
    </row>
    <row r="7" spans="1:11" ht="38.25" x14ac:dyDescent="0.25">
      <c r="A7" s="16" t="s">
        <v>109</v>
      </c>
      <c r="B7" s="18" t="s">
        <v>110</v>
      </c>
      <c r="C7" s="7" t="s">
        <v>111</v>
      </c>
      <c r="D7" s="7" t="s">
        <v>112</v>
      </c>
      <c r="E7" s="7" t="s">
        <v>92</v>
      </c>
      <c r="F7" s="7" t="s">
        <v>113</v>
      </c>
      <c r="G7" s="7" t="s">
        <v>112</v>
      </c>
      <c r="H7" s="7" t="s">
        <v>114</v>
      </c>
      <c r="I7" s="7" t="s">
        <v>115</v>
      </c>
      <c r="J7" s="7" t="s">
        <v>116</v>
      </c>
      <c r="K7" s="7" t="s">
        <v>117</v>
      </c>
    </row>
    <row r="8" spans="1:11" ht="63.75" x14ac:dyDescent="0.25">
      <c r="A8" s="16" t="s">
        <v>118</v>
      </c>
      <c r="B8" s="19" t="s">
        <v>119</v>
      </c>
      <c r="C8" s="7" t="s">
        <v>120</v>
      </c>
      <c r="D8" s="7" t="s">
        <v>121</v>
      </c>
      <c r="E8" s="7" t="s">
        <v>122</v>
      </c>
      <c r="F8" s="7" t="s">
        <v>123</v>
      </c>
      <c r="G8" s="7" t="s">
        <v>92</v>
      </c>
      <c r="H8" s="7" t="s">
        <v>124</v>
      </c>
      <c r="I8" s="7" t="s">
        <v>125</v>
      </c>
      <c r="J8" s="7" t="s">
        <v>126</v>
      </c>
      <c r="K8" s="7" t="s">
        <v>127</v>
      </c>
    </row>
    <row r="9" spans="1:11" ht="38.25" x14ac:dyDescent="0.25">
      <c r="A9" s="16" t="s">
        <v>128</v>
      </c>
      <c r="B9" s="19" t="s">
        <v>129</v>
      </c>
      <c r="C9" s="7" t="s">
        <v>130</v>
      </c>
      <c r="D9" s="7" t="s">
        <v>92</v>
      </c>
      <c r="E9" s="7" t="s">
        <v>92</v>
      </c>
      <c r="F9" s="7" t="s">
        <v>92</v>
      </c>
      <c r="G9" s="7" t="s">
        <v>92</v>
      </c>
      <c r="H9" s="7" t="s">
        <v>124</v>
      </c>
      <c r="I9" s="7" t="s">
        <v>131</v>
      </c>
      <c r="J9" s="7" t="s">
        <v>132</v>
      </c>
      <c r="K9" s="7" t="s">
        <v>127</v>
      </c>
    </row>
    <row r="10" spans="1:11" ht="25.5" x14ac:dyDescent="0.25">
      <c r="A10" s="16" t="s">
        <v>133</v>
      </c>
      <c r="B10" s="18" t="s">
        <v>134</v>
      </c>
      <c r="C10" s="7" t="s">
        <v>135</v>
      </c>
      <c r="D10" s="7" t="s">
        <v>135</v>
      </c>
      <c r="E10" s="7" t="s">
        <v>135</v>
      </c>
      <c r="F10" s="7" t="s">
        <v>135</v>
      </c>
      <c r="G10" s="7" t="s">
        <v>135</v>
      </c>
      <c r="H10" s="7" t="s">
        <v>135</v>
      </c>
      <c r="I10" s="7" t="s">
        <v>135</v>
      </c>
      <c r="J10" s="7" t="s">
        <v>136</v>
      </c>
      <c r="K10" s="7" t="s">
        <v>98</v>
      </c>
    </row>
    <row r="11" spans="1:11" ht="51" x14ac:dyDescent="0.25">
      <c r="A11" s="16" t="s">
        <v>137</v>
      </c>
      <c r="B11" s="18" t="s">
        <v>138</v>
      </c>
      <c r="C11" s="7" t="s">
        <v>135</v>
      </c>
      <c r="D11" s="7" t="s">
        <v>135</v>
      </c>
      <c r="E11" s="7" t="s">
        <v>135</v>
      </c>
      <c r="F11" s="7" t="s">
        <v>135</v>
      </c>
      <c r="G11" s="7" t="s">
        <v>135</v>
      </c>
      <c r="H11" s="7" t="s">
        <v>139</v>
      </c>
      <c r="I11" s="7" t="s">
        <v>135</v>
      </c>
      <c r="J11" s="7" t="s">
        <v>140</v>
      </c>
      <c r="K11" s="7" t="s">
        <v>141</v>
      </c>
    </row>
    <row r="12" spans="1:11" ht="38.25" x14ac:dyDescent="0.25">
      <c r="A12" s="16" t="s">
        <v>142</v>
      </c>
      <c r="B12" s="19" t="s">
        <v>143</v>
      </c>
      <c r="C12" s="7" t="s">
        <v>135</v>
      </c>
      <c r="D12" s="7" t="s">
        <v>92</v>
      </c>
      <c r="E12" s="7" t="s">
        <v>92</v>
      </c>
      <c r="F12" s="7" t="s">
        <v>135</v>
      </c>
      <c r="G12" s="7" t="s">
        <v>144</v>
      </c>
      <c r="H12" s="7" t="s">
        <v>135</v>
      </c>
      <c r="I12" s="7" t="s">
        <v>135</v>
      </c>
      <c r="J12" s="7" t="s">
        <v>145</v>
      </c>
      <c r="K12" s="7" t="s">
        <v>98</v>
      </c>
    </row>
    <row r="13" spans="1:11" ht="25.5" x14ac:dyDescent="0.25">
      <c r="A13" s="16" t="s">
        <v>146</v>
      </c>
      <c r="B13" s="17" t="s">
        <v>147</v>
      </c>
      <c r="C13" s="7" t="s">
        <v>135</v>
      </c>
      <c r="D13" s="7" t="s">
        <v>148</v>
      </c>
      <c r="E13" s="7" t="s">
        <v>135</v>
      </c>
      <c r="F13" s="7" t="s">
        <v>135</v>
      </c>
      <c r="G13" s="7" t="s">
        <v>149</v>
      </c>
      <c r="H13" s="7" t="s">
        <v>150</v>
      </c>
      <c r="I13" s="7" t="s">
        <v>151</v>
      </c>
      <c r="J13" s="7" t="s">
        <v>152</v>
      </c>
      <c r="K13" s="7" t="s">
        <v>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E3A1E"/>
  </sheetPr>
  <dimension ref="A1:E14"/>
  <sheetViews>
    <sheetView showGridLines="0" workbookViewId="0"/>
  </sheetViews>
  <sheetFormatPr defaultRowHeight="15" x14ac:dyDescent="0.25"/>
  <cols>
    <col min="1" max="1" width="30" customWidth="1"/>
    <col min="2" max="2" width="44" customWidth="1"/>
    <col min="3" max="3" width="24" customWidth="1"/>
    <col min="4" max="4" width="34" customWidth="1"/>
    <col min="5" max="5" width="40" customWidth="1"/>
  </cols>
  <sheetData>
    <row r="1" spans="1:5" ht="18" x14ac:dyDescent="0.25">
      <c r="A1" s="1" t="s">
        <v>153</v>
      </c>
    </row>
    <row r="2" spans="1:5" x14ac:dyDescent="0.25">
      <c r="A2" s="2" t="s">
        <v>154</v>
      </c>
    </row>
    <row r="4" spans="1:5" x14ac:dyDescent="0.25">
      <c r="A4" s="6" t="s">
        <v>155</v>
      </c>
      <c r="B4" s="6" t="s">
        <v>156</v>
      </c>
      <c r="C4" s="6" t="s">
        <v>157</v>
      </c>
      <c r="D4" s="6" t="s">
        <v>158</v>
      </c>
      <c r="E4" s="6" t="s">
        <v>86</v>
      </c>
    </row>
    <row r="5" spans="1:5" x14ac:dyDescent="0.25">
      <c r="A5" s="7" t="s">
        <v>159</v>
      </c>
      <c r="B5" s="7" t="s">
        <v>160</v>
      </c>
      <c r="C5" s="7" t="s">
        <v>161</v>
      </c>
      <c r="D5" s="7" t="s">
        <v>162</v>
      </c>
      <c r="E5" s="7" t="s">
        <v>163</v>
      </c>
    </row>
    <row r="6" spans="1:5" x14ac:dyDescent="0.25">
      <c r="A6" s="7" t="s">
        <v>164</v>
      </c>
      <c r="B6" s="7" t="s">
        <v>165</v>
      </c>
      <c r="C6" s="7" t="s">
        <v>161</v>
      </c>
      <c r="D6" s="7" t="s">
        <v>162</v>
      </c>
      <c r="E6" s="7" t="s">
        <v>166</v>
      </c>
    </row>
    <row r="7" spans="1:5" ht="25.5" x14ac:dyDescent="0.25">
      <c r="A7" s="7" t="s">
        <v>167</v>
      </c>
      <c r="B7" s="7" t="s">
        <v>168</v>
      </c>
      <c r="C7" s="7" t="s">
        <v>161</v>
      </c>
      <c r="D7" s="7" t="s">
        <v>169</v>
      </c>
      <c r="E7" s="7" t="s">
        <v>170</v>
      </c>
    </row>
    <row r="8" spans="1:5" x14ac:dyDescent="0.25">
      <c r="A8" s="7" t="s">
        <v>171</v>
      </c>
      <c r="B8" s="7" t="s">
        <v>172</v>
      </c>
      <c r="C8" s="7" t="s">
        <v>161</v>
      </c>
      <c r="D8" s="7" t="s">
        <v>173</v>
      </c>
      <c r="E8" s="7" t="s">
        <v>174</v>
      </c>
    </row>
    <row r="9" spans="1:5" x14ac:dyDescent="0.25">
      <c r="A9" s="7" t="s">
        <v>175</v>
      </c>
      <c r="B9" s="7" t="s">
        <v>176</v>
      </c>
      <c r="C9" s="7" t="s">
        <v>161</v>
      </c>
      <c r="D9" s="7" t="s">
        <v>162</v>
      </c>
      <c r="E9" s="7" t="s">
        <v>177</v>
      </c>
    </row>
    <row r="10" spans="1:5" ht="25.5" x14ac:dyDescent="0.25">
      <c r="A10" s="7" t="s">
        <v>178</v>
      </c>
      <c r="B10" s="7" t="s">
        <v>179</v>
      </c>
      <c r="C10" s="7" t="s">
        <v>180</v>
      </c>
      <c r="D10" s="7" t="s">
        <v>181</v>
      </c>
      <c r="E10" s="7" t="s">
        <v>182</v>
      </c>
    </row>
    <row r="11" spans="1:5" ht="25.5" x14ac:dyDescent="0.25">
      <c r="A11" s="7" t="s">
        <v>183</v>
      </c>
      <c r="B11" s="7" t="s">
        <v>184</v>
      </c>
      <c r="C11" s="7" t="s">
        <v>185</v>
      </c>
      <c r="D11" s="7" t="s">
        <v>186</v>
      </c>
      <c r="E11" s="7" t="s">
        <v>187</v>
      </c>
    </row>
    <row r="12" spans="1:5" x14ac:dyDescent="0.25">
      <c r="A12" s="7" t="s">
        <v>188</v>
      </c>
      <c r="B12" s="7" t="s">
        <v>189</v>
      </c>
      <c r="C12" s="7" t="s">
        <v>135</v>
      </c>
      <c r="D12" s="7" t="s">
        <v>190</v>
      </c>
      <c r="E12" s="7" t="s">
        <v>191</v>
      </c>
    </row>
    <row r="13" spans="1:5" ht="25.5" x14ac:dyDescent="0.25">
      <c r="A13" s="7" t="s">
        <v>192</v>
      </c>
      <c r="B13" s="7" t="s">
        <v>193</v>
      </c>
      <c r="C13" s="7" t="s">
        <v>135</v>
      </c>
      <c r="D13" s="7" t="s">
        <v>194</v>
      </c>
      <c r="E13" s="7" t="s">
        <v>195</v>
      </c>
    </row>
    <row r="14" spans="1:5" ht="25.5" x14ac:dyDescent="0.25">
      <c r="A14" s="7" t="s">
        <v>196</v>
      </c>
      <c r="B14" s="7" t="s">
        <v>197</v>
      </c>
      <c r="C14" s="7" t="s">
        <v>135</v>
      </c>
      <c r="D14" s="7" t="s">
        <v>198</v>
      </c>
      <c r="E14" s="7" t="s">
        <v>199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E3A1E"/>
  </sheetPr>
  <dimension ref="A1:E14"/>
  <sheetViews>
    <sheetView showGridLines="0" workbookViewId="0"/>
  </sheetViews>
  <sheetFormatPr defaultRowHeight="15" x14ac:dyDescent="0.25"/>
  <cols>
    <col min="1" max="1" width="52" customWidth="1"/>
    <col min="2" max="2" width="16" customWidth="1"/>
    <col min="3" max="3" width="44" customWidth="1"/>
    <col min="4" max="4" width="14" customWidth="1"/>
    <col min="5" max="5" width="12" customWidth="1"/>
  </cols>
  <sheetData>
    <row r="1" spans="1:5" ht="18" x14ac:dyDescent="0.25">
      <c r="A1" s="1" t="s">
        <v>200</v>
      </c>
    </row>
    <row r="2" spans="1:5" x14ac:dyDescent="0.25">
      <c r="A2" s="2" t="s">
        <v>201</v>
      </c>
    </row>
    <row r="4" spans="1:5" x14ac:dyDescent="0.25">
      <c r="A4" s="6" t="s">
        <v>202</v>
      </c>
      <c r="B4" s="6" t="s">
        <v>28</v>
      </c>
      <c r="C4" s="6" t="s">
        <v>86</v>
      </c>
      <c r="D4" s="6" t="s">
        <v>203</v>
      </c>
      <c r="E4" s="6" t="s">
        <v>87</v>
      </c>
    </row>
    <row r="5" spans="1:5" x14ac:dyDescent="0.25">
      <c r="A5" s="7" t="s">
        <v>204</v>
      </c>
      <c r="B5" s="20">
        <v>6.1800000000000001E-2</v>
      </c>
      <c r="C5" s="7" t="s">
        <v>205</v>
      </c>
      <c r="D5" s="7" t="s">
        <v>206</v>
      </c>
      <c r="E5" s="7" t="s">
        <v>117</v>
      </c>
    </row>
    <row r="6" spans="1:5" x14ac:dyDescent="0.25">
      <c r="A6" s="7" t="s">
        <v>207</v>
      </c>
      <c r="B6" s="20">
        <v>8.6199999999999999E-2</v>
      </c>
      <c r="C6" s="7" t="s">
        <v>205</v>
      </c>
      <c r="D6" s="7" t="s">
        <v>206</v>
      </c>
      <c r="E6" s="7" t="s">
        <v>117</v>
      </c>
    </row>
    <row r="7" spans="1:5" ht="25.5" x14ac:dyDescent="0.25">
      <c r="A7" s="7" t="s">
        <v>208</v>
      </c>
      <c r="B7" s="20">
        <v>6.4399999999999999E-2</v>
      </c>
      <c r="C7" s="7" t="s">
        <v>205</v>
      </c>
      <c r="D7" s="7" t="s">
        <v>206</v>
      </c>
      <c r="E7" s="7" t="s">
        <v>117</v>
      </c>
    </row>
    <row r="8" spans="1:5" x14ac:dyDescent="0.25">
      <c r="A8" s="7" t="s">
        <v>209</v>
      </c>
      <c r="B8" s="20">
        <v>5.1900000000000002E-2</v>
      </c>
      <c r="C8" s="7" t="s">
        <v>210</v>
      </c>
      <c r="D8" s="7" t="s">
        <v>211</v>
      </c>
      <c r="E8" s="7" t="s">
        <v>117</v>
      </c>
    </row>
    <row r="9" spans="1:5" x14ac:dyDescent="0.25">
      <c r="A9" s="7" t="s">
        <v>212</v>
      </c>
      <c r="B9" s="20">
        <v>1.06E-2</v>
      </c>
      <c r="C9" s="7" t="s">
        <v>213</v>
      </c>
      <c r="D9" s="7" t="s">
        <v>206</v>
      </c>
      <c r="E9" s="7" t="s">
        <v>117</v>
      </c>
    </row>
    <row r="10" spans="1:5" x14ac:dyDescent="0.25">
      <c r="A10" s="7" t="s">
        <v>214</v>
      </c>
      <c r="B10" s="20">
        <v>1.77E-2</v>
      </c>
      <c r="C10" s="7" t="s">
        <v>213</v>
      </c>
      <c r="D10" s="7" t="s">
        <v>206</v>
      </c>
      <c r="E10" s="7" t="s">
        <v>117</v>
      </c>
    </row>
    <row r="11" spans="1:5" x14ac:dyDescent="0.25">
      <c r="A11" s="7" t="s">
        <v>215</v>
      </c>
      <c r="B11" s="20">
        <v>3.6200000000000003E-2</v>
      </c>
      <c r="C11" s="7" t="s">
        <v>213</v>
      </c>
      <c r="D11" s="7" t="s">
        <v>206</v>
      </c>
      <c r="E11" s="7" t="s">
        <v>117</v>
      </c>
    </row>
    <row r="12" spans="1:5" ht="51" x14ac:dyDescent="0.25">
      <c r="A12" s="7" t="s">
        <v>216</v>
      </c>
      <c r="B12" s="7" t="s">
        <v>217</v>
      </c>
      <c r="C12" s="7" t="s">
        <v>218</v>
      </c>
      <c r="D12" s="7" t="s">
        <v>219</v>
      </c>
      <c r="E12" s="7" t="s">
        <v>127</v>
      </c>
    </row>
    <row r="13" spans="1:5" x14ac:dyDescent="0.25">
      <c r="A13" s="7" t="s">
        <v>220</v>
      </c>
      <c r="B13" s="7" t="s">
        <v>221</v>
      </c>
      <c r="C13" s="7" t="s">
        <v>222</v>
      </c>
      <c r="D13" s="7" t="s">
        <v>211</v>
      </c>
      <c r="E13" s="7" t="s">
        <v>127</v>
      </c>
    </row>
    <row r="14" spans="1:5" ht="25.5" x14ac:dyDescent="0.25">
      <c r="A14" s="7" t="s">
        <v>223</v>
      </c>
      <c r="B14" s="7" t="s">
        <v>224</v>
      </c>
      <c r="C14" s="7" t="s">
        <v>225</v>
      </c>
      <c r="D14" s="7" t="s">
        <v>226</v>
      </c>
      <c r="E14" s="7" t="s">
        <v>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3A1E"/>
  </sheetPr>
  <dimension ref="A1:D12"/>
  <sheetViews>
    <sheetView showGridLines="0" workbookViewId="0"/>
  </sheetViews>
  <sheetFormatPr defaultRowHeight="15" x14ac:dyDescent="0.25"/>
  <cols>
    <col min="1" max="1" width="30" customWidth="1"/>
    <col min="2" max="2" width="80" customWidth="1"/>
    <col min="3" max="3" width="36" customWidth="1"/>
    <col min="4" max="4" width="12" customWidth="1"/>
  </cols>
  <sheetData>
    <row r="1" spans="1:4" ht="18" x14ac:dyDescent="0.25">
      <c r="A1" s="1" t="s">
        <v>227</v>
      </c>
    </row>
    <row r="2" spans="1:4" x14ac:dyDescent="0.25">
      <c r="A2" s="2" t="s">
        <v>228</v>
      </c>
    </row>
    <row r="4" spans="1:4" x14ac:dyDescent="0.25">
      <c r="A4" s="6" t="s">
        <v>229</v>
      </c>
      <c r="B4" s="6" t="s">
        <v>230</v>
      </c>
      <c r="C4" s="6" t="s">
        <v>86</v>
      </c>
      <c r="D4" s="6" t="s">
        <v>87</v>
      </c>
    </row>
    <row r="5" spans="1:4" x14ac:dyDescent="0.25">
      <c r="A5" s="7" t="s">
        <v>231</v>
      </c>
      <c r="B5" s="7" t="s">
        <v>232</v>
      </c>
      <c r="C5" s="7" t="s">
        <v>233</v>
      </c>
      <c r="D5" s="7" t="s">
        <v>117</v>
      </c>
    </row>
    <row r="6" spans="1:4" x14ac:dyDescent="0.25">
      <c r="A6" s="7" t="s">
        <v>234</v>
      </c>
      <c r="B6" s="7" t="s">
        <v>235</v>
      </c>
      <c r="C6" s="7" t="s">
        <v>233</v>
      </c>
      <c r="D6" s="7" t="s">
        <v>117</v>
      </c>
    </row>
    <row r="7" spans="1:4" ht="25.5" x14ac:dyDescent="0.25">
      <c r="A7" s="7" t="s">
        <v>236</v>
      </c>
      <c r="B7" s="7" t="s">
        <v>237</v>
      </c>
      <c r="C7" s="7" t="s">
        <v>238</v>
      </c>
      <c r="D7" s="7" t="s">
        <v>98</v>
      </c>
    </row>
    <row r="8" spans="1:4" ht="25.5" x14ac:dyDescent="0.25">
      <c r="A8" s="7" t="s">
        <v>239</v>
      </c>
      <c r="B8" s="7" t="s">
        <v>240</v>
      </c>
      <c r="C8" s="7" t="s">
        <v>241</v>
      </c>
      <c r="D8" s="7" t="s">
        <v>117</v>
      </c>
    </row>
    <row r="9" spans="1:4" ht="25.5" x14ac:dyDescent="0.25">
      <c r="A9" s="7" t="s">
        <v>242</v>
      </c>
      <c r="B9" s="7" t="s">
        <v>243</v>
      </c>
      <c r="C9" s="7" t="s">
        <v>244</v>
      </c>
      <c r="D9" s="7" t="s">
        <v>117</v>
      </c>
    </row>
    <row r="10" spans="1:4" ht="25.5" x14ac:dyDescent="0.25">
      <c r="A10" s="7" t="s">
        <v>245</v>
      </c>
      <c r="B10" s="7" t="s">
        <v>246</v>
      </c>
      <c r="C10" s="7" t="s">
        <v>247</v>
      </c>
      <c r="D10" s="7" t="s">
        <v>117</v>
      </c>
    </row>
    <row r="11" spans="1:4" x14ac:dyDescent="0.25">
      <c r="A11" s="7" t="s">
        <v>248</v>
      </c>
      <c r="B11" s="7" t="s">
        <v>249</v>
      </c>
      <c r="C11" s="7" t="s">
        <v>250</v>
      </c>
      <c r="D11" s="7" t="s">
        <v>98</v>
      </c>
    </row>
    <row r="12" spans="1:4" x14ac:dyDescent="0.25">
      <c r="A12" s="7" t="s">
        <v>251</v>
      </c>
      <c r="B12" s="7" t="s">
        <v>252</v>
      </c>
      <c r="C12" s="7" t="s">
        <v>253</v>
      </c>
      <c r="D12" s="7" t="s">
        <v>135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E3A1E"/>
  </sheetPr>
  <dimension ref="A1:B18"/>
  <sheetViews>
    <sheetView showGridLines="0" workbookViewId="0"/>
  </sheetViews>
  <sheetFormatPr defaultRowHeight="15" x14ac:dyDescent="0.25"/>
  <cols>
    <col min="1" max="1" width="80" customWidth="1"/>
    <col min="2" max="2" width="50" customWidth="1"/>
  </cols>
  <sheetData>
    <row r="1" spans="1:2" ht="18" x14ac:dyDescent="0.25">
      <c r="A1" s="1" t="s">
        <v>254</v>
      </c>
    </row>
    <row r="2" spans="1:2" x14ac:dyDescent="0.25">
      <c r="A2" s="2" t="s">
        <v>255</v>
      </c>
    </row>
    <row r="4" spans="1:2" x14ac:dyDescent="0.25">
      <c r="A4" s="6" t="s">
        <v>86</v>
      </c>
      <c r="B4" s="6" t="s">
        <v>256</v>
      </c>
    </row>
    <row r="5" spans="1:2" x14ac:dyDescent="0.25">
      <c r="A5" s="7" t="s">
        <v>257</v>
      </c>
      <c r="B5" s="7" t="s">
        <v>258</v>
      </c>
    </row>
    <row r="6" spans="1:2" x14ac:dyDescent="0.25">
      <c r="A6" s="7" t="s">
        <v>259</v>
      </c>
      <c r="B6" s="7" t="s">
        <v>260</v>
      </c>
    </row>
    <row r="7" spans="1:2" x14ac:dyDescent="0.25">
      <c r="A7" s="7" t="s">
        <v>261</v>
      </c>
      <c r="B7" s="7" t="s">
        <v>262</v>
      </c>
    </row>
    <row r="8" spans="1:2" x14ac:dyDescent="0.25">
      <c r="A8" s="7" t="s">
        <v>263</v>
      </c>
      <c r="B8" s="7" t="s">
        <v>264</v>
      </c>
    </row>
    <row r="9" spans="1:2" ht="25.5" x14ac:dyDescent="0.25">
      <c r="A9" s="7" t="s">
        <v>265</v>
      </c>
      <c r="B9" s="7" t="s">
        <v>266</v>
      </c>
    </row>
    <row r="10" spans="1:2" x14ac:dyDescent="0.25">
      <c r="A10" s="7" t="s">
        <v>267</v>
      </c>
      <c r="B10" s="7" t="s">
        <v>268</v>
      </c>
    </row>
    <row r="11" spans="1:2" x14ac:dyDescent="0.25">
      <c r="A11" s="7" t="s">
        <v>269</v>
      </c>
      <c r="B11" s="7" t="s">
        <v>270</v>
      </c>
    </row>
    <row r="12" spans="1:2" x14ac:dyDescent="0.25">
      <c r="A12" s="7" t="s">
        <v>271</v>
      </c>
      <c r="B12" s="7" t="s">
        <v>272</v>
      </c>
    </row>
    <row r="13" spans="1:2" x14ac:dyDescent="0.25">
      <c r="A13" s="7" t="s">
        <v>273</v>
      </c>
      <c r="B13" s="7" t="s">
        <v>274</v>
      </c>
    </row>
    <row r="14" spans="1:2" x14ac:dyDescent="0.25">
      <c r="A14" s="7" t="s">
        <v>275</v>
      </c>
      <c r="B14" s="7" t="s">
        <v>276</v>
      </c>
    </row>
    <row r="15" spans="1:2" x14ac:dyDescent="0.25">
      <c r="A15" s="7" t="s">
        <v>277</v>
      </c>
      <c r="B15" s="7" t="s">
        <v>278</v>
      </c>
    </row>
    <row r="16" spans="1:2" x14ac:dyDescent="0.25">
      <c r="A16" s="7" t="s">
        <v>279</v>
      </c>
      <c r="B16" s="7" t="s">
        <v>280</v>
      </c>
    </row>
    <row r="17" spans="1:2" x14ac:dyDescent="0.25">
      <c r="A17" s="7" t="s">
        <v>281</v>
      </c>
      <c r="B17" s="7" t="s">
        <v>282</v>
      </c>
    </row>
    <row r="18" spans="1:2" x14ac:dyDescent="0.25">
      <c r="A18" s="7" t="s">
        <v>283</v>
      </c>
      <c r="B18" s="7" t="s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Resumo</vt:lpstr>
      <vt:lpstr>Premissas</vt:lpstr>
      <vt:lpstr>Simulação por volume</vt:lpstr>
      <vt:lpstr>Provedores</vt:lpstr>
      <vt:lpstr>Regras PAT</vt:lpstr>
      <vt:lpstr>Benchmarks</vt:lpstr>
      <vt:lpstr>Elegibilidade</vt:lpstr>
      <vt:lpstr>Fontes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Antônio Oliveira</cp:lastModifiedBy>
  <dcterms:created xsi:type="dcterms:W3CDTF">2026-09-29T17:32:21Z</dcterms:created>
  <dcterms:modified xsi:type="dcterms:W3CDTF">2026-09-29T17:39:13Z</dcterms:modified>
</cp:coreProperties>
</file>